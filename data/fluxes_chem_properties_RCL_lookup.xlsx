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it_T_Nagrare/PycharmProjects/ferro_alloy_addition_optimization/data/"/>
    </mc:Choice>
  </mc:AlternateContent>
  <xr:revisionPtr revIDLastSave="0" documentId="8_{1E1D28DF-C8EE-8B43-9F6C-9803C38ABE8A}" xr6:coauthVersionLast="47" xr6:coauthVersionMax="47" xr10:uidLastSave="{00000000-0000-0000-0000-000000000000}"/>
  <bookViews>
    <workbookView xWindow="1060" yWindow="3940" windowWidth="27640" windowHeight="16940" xr2:uid="{973970F0-646E-D64B-B6A4-82162729FB1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1" l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<sst xmlns="http://schemas.openxmlformats.org/spreadsheetml/2006/main" count="87" uniqueCount="65">
  <si>
    <t>Date</t>
  </si>
  <si>
    <t>Sample Name and Number</t>
  </si>
  <si>
    <t>SiO2</t>
  </si>
  <si>
    <t>CaO</t>
  </si>
  <si>
    <t>MgO</t>
  </si>
  <si>
    <t>lime-11</t>
  </si>
  <si>
    <t>calcined dolo-11</t>
  </si>
  <si>
    <t>lime-12</t>
  </si>
  <si>
    <t>calcined dolo-12</t>
  </si>
  <si>
    <t>lime-13</t>
  </si>
  <si>
    <t>calcined dolo-13</t>
  </si>
  <si>
    <t>lime-14</t>
  </si>
  <si>
    <t>calcined dolo-14</t>
  </si>
  <si>
    <t>lime-15</t>
  </si>
  <si>
    <t>calcined dolo-15</t>
  </si>
  <si>
    <t>lime-16</t>
  </si>
  <si>
    <t>calcined dolo-16</t>
  </si>
  <si>
    <t>calcined dolo-17</t>
  </si>
  <si>
    <t>lime-18</t>
  </si>
  <si>
    <t>calcined dolo-18</t>
  </si>
  <si>
    <t>calcined dolo-19</t>
  </si>
  <si>
    <t>lime-20</t>
  </si>
  <si>
    <t>calcined dolo-20</t>
  </si>
  <si>
    <t>calcined dolo-21</t>
  </si>
  <si>
    <t>lime-22</t>
  </si>
  <si>
    <t>calcined dolo-22</t>
  </si>
  <si>
    <t>lime-23</t>
  </si>
  <si>
    <t>calcined dolo-23</t>
  </si>
  <si>
    <t>lime-24</t>
  </si>
  <si>
    <t>calcined dolo-24</t>
  </si>
  <si>
    <t>lime-25</t>
  </si>
  <si>
    <t>calcined dolo-25</t>
  </si>
  <si>
    <t>lime-26</t>
  </si>
  <si>
    <t>calcined dolo-26</t>
  </si>
  <si>
    <t>lime-27</t>
  </si>
  <si>
    <t>calcined dolo-27</t>
  </si>
  <si>
    <t>lime-28</t>
  </si>
  <si>
    <t>calcined dolo-28</t>
  </si>
  <si>
    <t>lime-29</t>
  </si>
  <si>
    <t>calcined dolo-29</t>
  </si>
  <si>
    <t>lime-30</t>
  </si>
  <si>
    <t>calcined dolo-30</t>
  </si>
  <si>
    <t>Flux</t>
  </si>
  <si>
    <t>lime-31</t>
  </si>
  <si>
    <t>calcined dolo-31</t>
  </si>
  <si>
    <t>lime-32</t>
  </si>
  <si>
    <t>calcined dolo-32</t>
  </si>
  <si>
    <t>lime-33</t>
  </si>
  <si>
    <t>calcined dolo-33</t>
  </si>
  <si>
    <t>lime-34</t>
  </si>
  <si>
    <t>calcined dolo-34</t>
  </si>
  <si>
    <t>lime-36</t>
  </si>
  <si>
    <t>calcined dolo-36</t>
  </si>
  <si>
    <t>lime-37</t>
  </si>
  <si>
    <t>calcined dolo-37</t>
  </si>
  <si>
    <t>lime-38</t>
  </si>
  <si>
    <t>calcined dolo-38</t>
  </si>
  <si>
    <t>lime-39</t>
  </si>
  <si>
    <t>calcined dolo-39</t>
  </si>
  <si>
    <t>lime-40</t>
  </si>
  <si>
    <t>calcined dolo-40</t>
  </si>
  <si>
    <t>lime-41</t>
  </si>
  <si>
    <t>calcined dolo-41</t>
  </si>
  <si>
    <t>lime-43</t>
  </si>
  <si>
    <t>calcined dolo-43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</si>
</sst>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7D88-41E4-AA41-A406-417B7EAE983E}">
  <dimension ref="A1:F60"/>
  <sheetViews>
    <sheetView tabSelected="1" workbookViewId="0">
      <selection activeCell="C1" sqref="C1"/>
    </sheetView>
  </sheetViews>
  <sheetFormatPr baseColWidth="10" defaultRowHeight="16" x14ac:dyDescent="0.2"/>
  <cols>
    <col min="1" max="1" width="10.33203125" bestFit="1" customWidth="1"/>
    <col min="2" max="2" width="22.83203125" bestFit="1" customWidth="1"/>
    <col min="3" max="3" width="22.83203125" customWidth="1"/>
    <col min="4" max="5" width="6.1640625" bestFit="1" customWidth="1"/>
    <col min="6" max="6" width="5.1640625" bestFit="1" customWidth="1"/>
  </cols>
  <sheetData>
    <row r="1" spans="1:6" x14ac:dyDescent="0.2">
      <c r="A1" t="s">
        <v>0</v>
      </c>
      <c r="B1" t="s">
        <v>1</v>
      </c>
      <c r="C1" t="s">
        <v>42</v>
      </c>
      <c r="D1" t="s">
        <v>2</v>
      </c>
      <c r="E1" t="s">
        <v>3</v>
      </c>
      <c r="F1" t="s">
        <v>4</v>
      </c>
    </row>
    <row r="2" spans="1:6" x14ac:dyDescent="0.2">
      <c r="A2" s="1">
        <v>45866</v>
      </c>
      <c r="B2" t="s">
        <v>5</v>
      </c>
      <c r="C2" t="str">
        <f>PROPER(LEFT(B2,LEN(B2)-3))</f>
        <v>Lime</v>
      </c>
      <c r="D2">
        <v>0.84</v>
      </c>
      <c r="E2">
        <v>66.64</v>
      </c>
      <c r="F2">
        <v>3.6</v>
      </c>
    </row>
    <row r="3" spans="1:6" x14ac:dyDescent="0.2">
      <c r="A3" s="1">
        <v>45866</v>
      </c>
      <c r="B3" t="s">
        <v>6</v>
      </c>
      <c r="C3" t="str">
        <f t="shared" ref="C3:C60" si="0">PROPER(LEFT(B3,LEN(B3)-3))</f>
        <v>Calcined Dolo</v>
      </c>
      <c r="D3">
        <v>3.84</v>
      </c>
      <c r="E3">
        <v>44.24</v>
      </c>
      <c r="F3">
        <v>25.2</v>
      </c>
    </row>
    <row r="4" spans="1:6" x14ac:dyDescent="0.2">
      <c r="A4" s="1">
        <v>45873</v>
      </c>
      <c r="B4" t="s">
        <v>7</v>
      </c>
      <c r="C4" t="str">
        <f t="shared" si="0"/>
        <v>Lime</v>
      </c>
      <c r="D4">
        <v>0.76</v>
      </c>
      <c r="E4">
        <v>63.84</v>
      </c>
      <c r="F4">
        <v>3.2</v>
      </c>
    </row>
    <row r="5" spans="1:6" x14ac:dyDescent="0.2">
      <c r="A5" s="1">
        <v>45873</v>
      </c>
      <c r="B5" t="s">
        <v>8</v>
      </c>
      <c r="C5" t="str">
        <f t="shared" si="0"/>
        <v>Calcined Dolo</v>
      </c>
      <c r="D5">
        <v>2.8</v>
      </c>
      <c r="E5">
        <v>52.64</v>
      </c>
      <c r="F5">
        <v>15.6</v>
      </c>
    </row>
    <row r="6" spans="1:6" x14ac:dyDescent="0.2">
      <c r="A6" s="1">
        <v>45880</v>
      </c>
      <c r="B6" t="s">
        <v>9</v>
      </c>
      <c r="C6" t="str">
        <f t="shared" si="0"/>
        <v>Lime</v>
      </c>
      <c r="D6">
        <v>3.3</v>
      </c>
      <c r="E6">
        <v>61.6</v>
      </c>
      <c r="F6">
        <v>5.6</v>
      </c>
    </row>
    <row r="7" spans="1:6" x14ac:dyDescent="0.2">
      <c r="A7" s="1">
        <v>45880</v>
      </c>
      <c r="B7" t="s">
        <v>10</v>
      </c>
      <c r="C7" t="str">
        <f t="shared" si="0"/>
        <v>Calcined Dolo</v>
      </c>
      <c r="D7">
        <v>6.44</v>
      </c>
      <c r="E7">
        <v>56.56</v>
      </c>
      <c r="F7">
        <v>14.4</v>
      </c>
    </row>
    <row r="8" spans="1:6" x14ac:dyDescent="0.2">
      <c r="A8" s="1">
        <v>45887</v>
      </c>
      <c r="B8" t="s">
        <v>11</v>
      </c>
      <c r="C8" t="str">
        <f t="shared" si="0"/>
        <v>Lime</v>
      </c>
      <c r="D8">
        <v>0.98</v>
      </c>
      <c r="E8">
        <v>63.84</v>
      </c>
      <c r="F8">
        <v>0.4</v>
      </c>
    </row>
    <row r="9" spans="1:6" x14ac:dyDescent="0.2">
      <c r="A9" s="1">
        <v>45887</v>
      </c>
      <c r="B9" t="s">
        <v>12</v>
      </c>
      <c r="C9" t="str">
        <f t="shared" si="0"/>
        <v>Calcined Dolo</v>
      </c>
      <c r="D9">
        <v>3.08</v>
      </c>
      <c r="E9">
        <v>56</v>
      </c>
      <c r="F9">
        <v>13.2</v>
      </c>
    </row>
    <row r="10" spans="1:6" x14ac:dyDescent="0.2">
      <c r="A10" s="1">
        <v>45897</v>
      </c>
      <c r="B10" t="s">
        <v>13</v>
      </c>
      <c r="C10" t="str">
        <f t="shared" si="0"/>
        <v>Lime</v>
      </c>
      <c r="D10">
        <v>1.26</v>
      </c>
      <c r="E10">
        <v>71.400000000000006</v>
      </c>
      <c r="F10">
        <v>1.4</v>
      </c>
    </row>
    <row r="11" spans="1:6" x14ac:dyDescent="0.2">
      <c r="A11" s="1">
        <v>45897</v>
      </c>
      <c r="B11" t="s">
        <v>14</v>
      </c>
      <c r="C11" t="str">
        <f t="shared" si="0"/>
        <v>Calcined Dolo</v>
      </c>
      <c r="D11">
        <v>4.5999999999999996</v>
      </c>
      <c r="E11">
        <v>48.72</v>
      </c>
      <c r="F11">
        <v>25.2</v>
      </c>
    </row>
    <row r="12" spans="1:6" x14ac:dyDescent="0.2">
      <c r="A12" s="1">
        <v>45899</v>
      </c>
      <c r="B12" t="s">
        <v>15</v>
      </c>
      <c r="C12" t="str">
        <f t="shared" si="0"/>
        <v>Lime</v>
      </c>
      <c r="D12">
        <v>1.82</v>
      </c>
      <c r="E12">
        <v>73.92</v>
      </c>
      <c r="F12">
        <v>1.6</v>
      </c>
    </row>
    <row r="13" spans="1:6" x14ac:dyDescent="0.2">
      <c r="A13" s="1">
        <v>45899</v>
      </c>
      <c r="B13" t="s">
        <v>16</v>
      </c>
      <c r="C13" t="str">
        <f t="shared" si="0"/>
        <v>Calcined Dolo</v>
      </c>
      <c r="D13">
        <v>4.0599999999999996</v>
      </c>
      <c r="E13">
        <v>71.400000000000006</v>
      </c>
      <c r="F13">
        <v>14.2</v>
      </c>
    </row>
    <row r="14" spans="1:6" x14ac:dyDescent="0.2">
      <c r="A14" s="1">
        <v>45901</v>
      </c>
      <c r="B14" t="s">
        <v>17</v>
      </c>
      <c r="C14" t="str">
        <f t="shared" si="0"/>
        <v>Calcined Dolo</v>
      </c>
      <c r="D14">
        <v>4.5599999999999996</v>
      </c>
      <c r="E14">
        <v>41.16</v>
      </c>
      <c r="F14">
        <v>30.8</v>
      </c>
    </row>
    <row r="15" spans="1:6" x14ac:dyDescent="0.2">
      <c r="A15" s="1">
        <v>45903</v>
      </c>
      <c r="B15" t="s">
        <v>18</v>
      </c>
      <c r="C15" t="str">
        <f t="shared" si="0"/>
        <v>Lime</v>
      </c>
      <c r="D15">
        <v>0.94</v>
      </c>
      <c r="E15">
        <v>63.84</v>
      </c>
      <c r="F15">
        <v>1.8</v>
      </c>
    </row>
    <row r="16" spans="1:6" x14ac:dyDescent="0.2">
      <c r="A16" s="1">
        <v>45903</v>
      </c>
      <c r="B16" t="s">
        <v>19</v>
      </c>
      <c r="C16" t="str">
        <f t="shared" si="0"/>
        <v>Calcined Dolo</v>
      </c>
      <c r="D16">
        <v>1.32</v>
      </c>
      <c r="E16">
        <v>61.6</v>
      </c>
      <c r="F16">
        <v>1.4</v>
      </c>
    </row>
    <row r="17" spans="1:6" x14ac:dyDescent="0.2">
      <c r="A17" s="1">
        <v>45906</v>
      </c>
      <c r="B17" t="s">
        <v>20</v>
      </c>
      <c r="C17" t="str">
        <f t="shared" si="0"/>
        <v>Calcined Dolo</v>
      </c>
      <c r="D17">
        <v>2.42</v>
      </c>
      <c r="E17">
        <v>47.6</v>
      </c>
      <c r="F17">
        <v>17.2</v>
      </c>
    </row>
    <row r="18" spans="1:6" x14ac:dyDescent="0.2">
      <c r="A18" s="1">
        <v>45908</v>
      </c>
      <c r="B18" t="s">
        <v>21</v>
      </c>
      <c r="C18" t="str">
        <f t="shared" si="0"/>
        <v>Lime</v>
      </c>
      <c r="D18">
        <v>0.92</v>
      </c>
      <c r="E18">
        <v>81.760000000000005</v>
      </c>
      <c r="F18">
        <v>0.8</v>
      </c>
    </row>
    <row r="19" spans="1:6" x14ac:dyDescent="0.2">
      <c r="A19" s="1">
        <v>45908</v>
      </c>
      <c r="B19" t="s">
        <v>22</v>
      </c>
      <c r="C19" t="str">
        <f t="shared" si="0"/>
        <v>Calcined Dolo</v>
      </c>
      <c r="D19">
        <v>12.74</v>
      </c>
      <c r="E19">
        <v>37.520000000000003</v>
      </c>
      <c r="F19">
        <v>26.8</v>
      </c>
    </row>
    <row r="20" spans="1:6" x14ac:dyDescent="0.2">
      <c r="A20" s="1">
        <v>45912</v>
      </c>
      <c r="B20" t="s">
        <v>23</v>
      </c>
      <c r="C20" t="str">
        <f t="shared" si="0"/>
        <v>Calcined Dolo</v>
      </c>
      <c r="D20">
        <v>3.46</v>
      </c>
      <c r="E20">
        <v>57.68</v>
      </c>
      <c r="F20">
        <v>22</v>
      </c>
    </row>
    <row r="21" spans="1:6" x14ac:dyDescent="0.2">
      <c r="A21" s="1">
        <v>45915</v>
      </c>
      <c r="B21" t="s">
        <v>24</v>
      </c>
      <c r="C21" t="str">
        <f t="shared" si="0"/>
        <v>Lime</v>
      </c>
      <c r="D21">
        <v>2.4</v>
      </c>
      <c r="E21">
        <v>73.36</v>
      </c>
      <c r="F21">
        <v>1.2</v>
      </c>
    </row>
    <row r="22" spans="1:6" x14ac:dyDescent="0.2">
      <c r="A22" s="1">
        <v>45915</v>
      </c>
      <c r="B22" t="s">
        <v>25</v>
      </c>
      <c r="C22" t="str">
        <f t="shared" si="0"/>
        <v>Calcined Dolo</v>
      </c>
      <c r="D22">
        <v>10.3</v>
      </c>
      <c r="E22">
        <v>36.96</v>
      </c>
      <c r="F22">
        <v>25.2</v>
      </c>
    </row>
    <row r="23" spans="1:6" x14ac:dyDescent="0.2">
      <c r="A23" s="1">
        <v>45922</v>
      </c>
      <c r="B23" t="s">
        <v>26</v>
      </c>
      <c r="C23" t="str">
        <f t="shared" si="0"/>
        <v>Lime</v>
      </c>
      <c r="D23">
        <v>0.2</v>
      </c>
      <c r="E23">
        <v>58.24</v>
      </c>
      <c r="F23">
        <v>0.8</v>
      </c>
    </row>
    <row r="24" spans="1:6" x14ac:dyDescent="0.2">
      <c r="A24" s="1">
        <v>45922</v>
      </c>
      <c r="B24" t="s">
        <v>27</v>
      </c>
      <c r="C24" t="str">
        <f t="shared" si="0"/>
        <v>Calcined Dolo</v>
      </c>
      <c r="D24">
        <v>3.78</v>
      </c>
      <c r="E24">
        <v>39.78</v>
      </c>
      <c r="F24">
        <v>28</v>
      </c>
    </row>
    <row r="25" spans="1:6" x14ac:dyDescent="0.2">
      <c r="A25" s="1">
        <v>45931</v>
      </c>
      <c r="B25" t="s">
        <v>28</v>
      </c>
      <c r="C25" t="str">
        <f t="shared" si="0"/>
        <v>Lime</v>
      </c>
      <c r="D25">
        <v>5.9</v>
      </c>
      <c r="E25">
        <v>73.08</v>
      </c>
      <c r="F25">
        <v>8.6</v>
      </c>
    </row>
    <row r="26" spans="1:6" x14ac:dyDescent="0.2">
      <c r="A26" s="1">
        <v>45931</v>
      </c>
      <c r="B26" t="s">
        <v>29</v>
      </c>
      <c r="C26" t="str">
        <f t="shared" si="0"/>
        <v>Calcined Dolo</v>
      </c>
      <c r="D26">
        <v>4.74</v>
      </c>
      <c r="E26">
        <v>42</v>
      </c>
      <c r="F26">
        <v>29.6</v>
      </c>
    </row>
    <row r="27" spans="1:6" x14ac:dyDescent="0.2">
      <c r="A27" s="1">
        <v>45937</v>
      </c>
      <c r="B27" t="s">
        <v>30</v>
      </c>
      <c r="C27" t="str">
        <f t="shared" si="0"/>
        <v>Lime</v>
      </c>
      <c r="D27">
        <v>4.9400000000000004</v>
      </c>
      <c r="E27">
        <v>40.32</v>
      </c>
      <c r="F27">
        <v>29.6</v>
      </c>
    </row>
    <row r="28" spans="1:6" x14ac:dyDescent="0.2">
      <c r="A28" s="1">
        <v>45937</v>
      </c>
      <c r="B28" t="s">
        <v>31</v>
      </c>
      <c r="C28" t="str">
        <f t="shared" si="0"/>
        <v>Calcined Dolo</v>
      </c>
      <c r="D28">
        <v>0.98</v>
      </c>
      <c r="E28">
        <v>71.12</v>
      </c>
      <c r="F28">
        <v>1.2</v>
      </c>
    </row>
    <row r="29" spans="1:6" x14ac:dyDescent="0.2">
      <c r="A29" s="1">
        <v>45943</v>
      </c>
      <c r="B29" t="s">
        <v>32</v>
      </c>
      <c r="C29" t="str">
        <f t="shared" si="0"/>
        <v>Lime</v>
      </c>
      <c r="D29">
        <v>0.68</v>
      </c>
      <c r="E29">
        <v>74.48</v>
      </c>
      <c r="F29">
        <v>1.2</v>
      </c>
    </row>
    <row r="30" spans="1:6" x14ac:dyDescent="0.2">
      <c r="A30" s="1">
        <v>45943</v>
      </c>
      <c r="B30" t="s">
        <v>33</v>
      </c>
      <c r="C30" t="str">
        <f t="shared" si="0"/>
        <v>Calcined Dolo</v>
      </c>
      <c r="D30">
        <v>11.5</v>
      </c>
      <c r="E30">
        <v>51.52</v>
      </c>
      <c r="F30">
        <v>14.1</v>
      </c>
    </row>
    <row r="31" spans="1:6" x14ac:dyDescent="0.2">
      <c r="A31" s="1">
        <v>45950</v>
      </c>
      <c r="B31" t="s">
        <v>34</v>
      </c>
      <c r="C31" t="str">
        <f t="shared" si="0"/>
        <v>Lime</v>
      </c>
      <c r="D31">
        <v>1.1399999999999999</v>
      </c>
      <c r="E31">
        <v>60.2</v>
      </c>
      <c r="F31">
        <v>24.4</v>
      </c>
    </row>
    <row r="32" spans="1:6" x14ac:dyDescent="0.2">
      <c r="A32" s="1">
        <v>45950</v>
      </c>
      <c r="B32" t="s">
        <v>35</v>
      </c>
      <c r="C32" t="str">
        <f t="shared" si="0"/>
        <v>Calcined Dolo</v>
      </c>
      <c r="D32">
        <v>5.12</v>
      </c>
      <c r="E32">
        <v>44.24</v>
      </c>
      <c r="F32">
        <v>0.6</v>
      </c>
    </row>
    <row r="33" spans="1:6" x14ac:dyDescent="0.2">
      <c r="A33" s="1">
        <v>45957</v>
      </c>
      <c r="B33" t="s">
        <v>36</v>
      </c>
      <c r="C33" t="str">
        <f t="shared" si="0"/>
        <v>Lime</v>
      </c>
      <c r="D33">
        <v>0.22</v>
      </c>
      <c r="E33">
        <v>63.84</v>
      </c>
      <c r="F33">
        <v>24.4</v>
      </c>
    </row>
    <row r="34" spans="1:6" x14ac:dyDescent="0.2">
      <c r="A34" s="1">
        <v>45957</v>
      </c>
      <c r="B34" t="s">
        <v>37</v>
      </c>
      <c r="C34" t="str">
        <f t="shared" si="0"/>
        <v>Calcined Dolo</v>
      </c>
      <c r="D34">
        <v>8.0399999999999991</v>
      </c>
      <c r="E34">
        <v>43.68</v>
      </c>
      <c r="F34">
        <v>1.2</v>
      </c>
    </row>
    <row r="35" spans="1:6" x14ac:dyDescent="0.2">
      <c r="A35" s="1">
        <v>45964</v>
      </c>
      <c r="B35" t="s">
        <v>38</v>
      </c>
      <c r="C35" t="str">
        <f t="shared" si="0"/>
        <v>Lime</v>
      </c>
      <c r="D35">
        <v>1.04</v>
      </c>
      <c r="E35">
        <v>82.88</v>
      </c>
      <c r="F35">
        <v>0.8</v>
      </c>
    </row>
    <row r="36" spans="1:6" x14ac:dyDescent="0.2">
      <c r="A36" s="1">
        <v>45964</v>
      </c>
      <c r="B36" t="s">
        <v>39</v>
      </c>
      <c r="C36" t="str">
        <f t="shared" si="0"/>
        <v>Calcined Dolo</v>
      </c>
      <c r="D36">
        <v>4.08</v>
      </c>
      <c r="E36">
        <v>41.72</v>
      </c>
      <c r="F36">
        <v>23.8</v>
      </c>
    </row>
    <row r="37" spans="1:6" x14ac:dyDescent="0.2">
      <c r="A37" s="1">
        <v>45967</v>
      </c>
      <c r="B37" t="s">
        <v>40</v>
      </c>
      <c r="C37" t="str">
        <f t="shared" si="0"/>
        <v>Lime</v>
      </c>
      <c r="D37">
        <v>1.5</v>
      </c>
      <c r="E37">
        <v>70.56</v>
      </c>
      <c r="F37">
        <v>1.2</v>
      </c>
    </row>
    <row r="38" spans="1:6" x14ac:dyDescent="0.2">
      <c r="A38" s="1">
        <v>45967</v>
      </c>
      <c r="B38" t="s">
        <v>41</v>
      </c>
      <c r="C38" t="str">
        <f t="shared" si="0"/>
        <v>Calcined Dolo</v>
      </c>
      <c r="D38">
        <v>2.2400000000000002</v>
      </c>
      <c r="E38">
        <v>47.04</v>
      </c>
      <c r="F38">
        <v>20</v>
      </c>
    </row>
    <row r="39" spans="1:6" x14ac:dyDescent="0.2">
      <c r="A39" s="2">
        <v>45972</v>
      </c>
      <c r="B39" s="3" t="s">
        <v>43</v>
      </c>
      <c r="C39" t="str">
        <f t="shared" si="0"/>
        <v>Lime</v>
      </c>
      <c r="D39" s="3">
        <v>0.38</v>
      </c>
      <c r="E39" s="3">
        <v>85.68</v>
      </c>
      <c r="F39" s="3">
        <v>0.8</v>
      </c>
    </row>
    <row r="40" spans="1:6" x14ac:dyDescent="0.2">
      <c r="A40" s="2">
        <v>45972</v>
      </c>
      <c r="B40" s="3" t="s">
        <v>44</v>
      </c>
      <c r="C40" t="str">
        <f t="shared" si="0"/>
        <v>Calcined Dolo</v>
      </c>
      <c r="D40" s="3">
        <v>0.5</v>
      </c>
      <c r="E40" s="3">
        <v>57.12</v>
      </c>
      <c r="F40" s="3">
        <v>1.2</v>
      </c>
    </row>
    <row r="41" spans="1:6" x14ac:dyDescent="0.2">
      <c r="A41" s="2">
        <v>45978</v>
      </c>
      <c r="B41" s="3" t="s">
        <v>45</v>
      </c>
      <c r="C41" t="str">
        <f t="shared" si="0"/>
        <v>Lime</v>
      </c>
      <c r="D41" s="3">
        <v>1.52</v>
      </c>
      <c r="E41" s="3">
        <v>66.64</v>
      </c>
      <c r="F41" s="3">
        <v>1.2</v>
      </c>
    </row>
    <row r="42" spans="1:6" x14ac:dyDescent="0.2">
      <c r="A42" s="2">
        <v>45978</v>
      </c>
      <c r="B42" s="3" t="s">
        <v>46</v>
      </c>
      <c r="C42" t="str">
        <f t="shared" si="0"/>
        <v>Calcined Dolo</v>
      </c>
      <c r="D42" s="3">
        <v>2.98</v>
      </c>
      <c r="E42" s="3">
        <v>40.880000000000003</v>
      </c>
      <c r="F42" s="3">
        <v>27.2</v>
      </c>
    </row>
    <row r="43" spans="1:6" x14ac:dyDescent="0.2">
      <c r="A43" s="2">
        <v>45986</v>
      </c>
      <c r="B43" s="3" t="s">
        <v>47</v>
      </c>
      <c r="C43" t="str">
        <f t="shared" si="0"/>
        <v>Lime</v>
      </c>
      <c r="D43" s="3">
        <v>1.3</v>
      </c>
      <c r="E43" s="3">
        <v>70</v>
      </c>
      <c r="F43" s="3">
        <v>1.6</v>
      </c>
    </row>
    <row r="44" spans="1:6" x14ac:dyDescent="0.2">
      <c r="A44" s="2">
        <v>45986</v>
      </c>
      <c r="B44" s="3" t="s">
        <v>48</v>
      </c>
      <c r="C44" t="str">
        <f t="shared" si="0"/>
        <v>Calcined Dolo</v>
      </c>
      <c r="D44" s="3">
        <v>10.88</v>
      </c>
      <c r="E44" s="3">
        <v>44.24</v>
      </c>
      <c r="F44" s="3">
        <v>21.6</v>
      </c>
    </row>
    <row r="45" spans="1:6" x14ac:dyDescent="0.2">
      <c r="A45" s="2">
        <v>45992</v>
      </c>
      <c r="B45" s="3" t="s">
        <v>49</v>
      </c>
      <c r="C45" t="str">
        <f t="shared" si="0"/>
        <v>Lime</v>
      </c>
      <c r="D45" s="3">
        <v>4.32</v>
      </c>
      <c r="E45" s="3">
        <v>77.56</v>
      </c>
      <c r="F45" s="3">
        <v>1</v>
      </c>
    </row>
    <row r="46" spans="1:6" x14ac:dyDescent="0.2">
      <c r="A46" s="2">
        <v>45992</v>
      </c>
      <c r="B46" s="3" t="s">
        <v>50</v>
      </c>
      <c r="C46" t="str">
        <f t="shared" si="0"/>
        <v>Calcined Dolo</v>
      </c>
      <c r="D46" s="3">
        <v>4.6399999999999997</v>
      </c>
      <c r="E46" s="3">
        <v>39.200000000000003</v>
      </c>
      <c r="F46" s="3">
        <v>30</v>
      </c>
    </row>
    <row r="47" spans="1:6" x14ac:dyDescent="0.2">
      <c r="A47" s="2">
        <v>45999</v>
      </c>
      <c r="B47" s="3" t="s">
        <v>51</v>
      </c>
      <c r="C47" t="str">
        <f t="shared" si="0"/>
        <v>Lime</v>
      </c>
      <c r="D47" s="3">
        <v>2.74</v>
      </c>
      <c r="E47" s="3">
        <v>88.48</v>
      </c>
      <c r="F47" s="3">
        <v>1.2</v>
      </c>
    </row>
    <row r="48" spans="1:6" x14ac:dyDescent="0.2">
      <c r="A48" s="2">
        <v>45999</v>
      </c>
      <c r="B48" s="3" t="s">
        <v>52</v>
      </c>
      <c r="C48" t="str">
        <f t="shared" si="0"/>
        <v>Calcined Dolo</v>
      </c>
      <c r="D48" s="3">
        <v>4.9400000000000004</v>
      </c>
      <c r="E48" s="3">
        <v>40.880000000000003</v>
      </c>
      <c r="F48" s="3">
        <v>22.4</v>
      </c>
    </row>
    <row r="49" spans="1:6" x14ac:dyDescent="0.2">
      <c r="A49" s="2">
        <v>46006</v>
      </c>
      <c r="B49" s="3" t="s">
        <v>53</v>
      </c>
      <c r="C49" t="str">
        <f t="shared" si="0"/>
        <v>Lime</v>
      </c>
      <c r="D49" s="3">
        <v>0</v>
      </c>
      <c r="E49" s="3">
        <v>0</v>
      </c>
      <c r="F49" s="3">
        <v>0</v>
      </c>
    </row>
    <row r="50" spans="1:6" x14ac:dyDescent="0.2">
      <c r="A50" s="2">
        <v>46006</v>
      </c>
      <c r="B50" s="3" t="s">
        <v>54</v>
      </c>
      <c r="C50" t="str">
        <f t="shared" si="0"/>
        <v>Calcined Dolo</v>
      </c>
      <c r="D50" s="3">
        <v>0</v>
      </c>
      <c r="E50" s="3">
        <v>0</v>
      </c>
      <c r="F50" s="3">
        <v>0</v>
      </c>
    </row>
    <row r="51" spans="1:6" x14ac:dyDescent="0.2">
      <c r="A51" s="2">
        <v>46009</v>
      </c>
      <c r="B51" s="3" t="s">
        <v>55</v>
      </c>
      <c r="C51" t="str">
        <f t="shared" si="0"/>
        <v>Lime</v>
      </c>
      <c r="D51" s="3">
        <v>2.04</v>
      </c>
      <c r="E51" s="3">
        <v>72.8</v>
      </c>
      <c r="F51" s="3">
        <v>1.2</v>
      </c>
    </row>
    <row r="52" spans="1:6" x14ac:dyDescent="0.2">
      <c r="A52" s="2">
        <v>46009</v>
      </c>
      <c r="B52" s="3" t="s">
        <v>56</v>
      </c>
      <c r="C52" t="str">
        <f t="shared" si="0"/>
        <v>Calcined Dolo</v>
      </c>
      <c r="D52" s="3">
        <v>8.2200000000000006</v>
      </c>
      <c r="E52" s="3">
        <v>43.68</v>
      </c>
      <c r="F52" s="3">
        <v>22.8</v>
      </c>
    </row>
    <row r="53" spans="1:6" x14ac:dyDescent="0.2">
      <c r="A53" s="2">
        <v>46013</v>
      </c>
      <c r="B53" s="3" t="s">
        <v>57</v>
      </c>
      <c r="C53" t="str">
        <f t="shared" si="0"/>
        <v>Lime</v>
      </c>
      <c r="D53" s="3">
        <v>0.48</v>
      </c>
      <c r="E53" s="3">
        <v>71.680000000000007</v>
      </c>
      <c r="F53" s="3">
        <v>1.2</v>
      </c>
    </row>
    <row r="54" spans="1:6" x14ac:dyDescent="0.2">
      <c r="A54" s="2">
        <v>46013</v>
      </c>
      <c r="B54" s="3" t="s">
        <v>58</v>
      </c>
      <c r="C54" t="str">
        <f t="shared" si="0"/>
        <v>Calcined Dolo</v>
      </c>
      <c r="D54" s="3">
        <v>5.16</v>
      </c>
      <c r="E54" s="3">
        <v>48.72</v>
      </c>
      <c r="F54" s="3">
        <v>25.2</v>
      </c>
    </row>
    <row r="55" spans="1:6" x14ac:dyDescent="0.2">
      <c r="A55" s="2">
        <v>46020</v>
      </c>
      <c r="B55" s="3" t="s">
        <v>59</v>
      </c>
      <c r="C55" t="str">
        <f t="shared" si="0"/>
        <v>Lime</v>
      </c>
      <c r="D55" s="3">
        <v>0</v>
      </c>
      <c r="E55" s="3">
        <v>0</v>
      </c>
      <c r="F55" s="3">
        <v>0</v>
      </c>
    </row>
    <row r="56" spans="1:6" x14ac:dyDescent="0.2">
      <c r="A56" s="2">
        <v>46020</v>
      </c>
      <c r="B56" s="3" t="s">
        <v>60</v>
      </c>
      <c r="C56" t="str">
        <f t="shared" si="0"/>
        <v>Calcined Dolo</v>
      </c>
      <c r="D56" s="3">
        <v>0</v>
      </c>
      <c r="E56" s="3">
        <v>0</v>
      </c>
      <c r="F56" s="3">
        <v>0</v>
      </c>
    </row>
    <row r="57" spans="1:6" x14ac:dyDescent="0.2">
      <c r="A57" s="2">
        <v>46027</v>
      </c>
      <c r="B57" s="3" t="s">
        <v>61</v>
      </c>
      <c r="C57" t="str">
        <f t="shared" si="0"/>
        <v>Lime</v>
      </c>
      <c r="D57" s="3">
        <v>2.04</v>
      </c>
      <c r="E57" s="3">
        <v>78.959999999999994</v>
      </c>
      <c r="F57" s="3">
        <v>0.8</v>
      </c>
    </row>
    <row r="58" spans="1:6" x14ac:dyDescent="0.2">
      <c r="A58" s="2">
        <v>46027</v>
      </c>
      <c r="B58" s="3" t="s">
        <v>62</v>
      </c>
      <c r="C58" t="str">
        <f t="shared" si="0"/>
        <v>Calcined Dolo</v>
      </c>
      <c r="D58" s="3">
        <v>7.14</v>
      </c>
      <c r="E58" s="3">
        <v>42</v>
      </c>
      <c r="F58" s="3">
        <v>28.8</v>
      </c>
    </row>
    <row r="59" spans="1:6" x14ac:dyDescent="0.2">
      <c r="A59" s="2">
        <v>46030</v>
      </c>
      <c r="B59" s="3" t="s">
        <v>63</v>
      </c>
      <c r="C59" t="str">
        <f t="shared" si="0"/>
        <v>Lime</v>
      </c>
      <c r="D59" s="3">
        <v>1.24</v>
      </c>
      <c r="E59" s="3">
        <v>67.760000000000005</v>
      </c>
      <c r="F59" s="3">
        <v>1.6</v>
      </c>
    </row>
    <row r="60" spans="1:6" x14ac:dyDescent="0.2">
      <c r="A60" s="2">
        <v>46030</v>
      </c>
      <c r="B60" s="3" t="s">
        <v>64</v>
      </c>
      <c r="C60" t="str">
        <f t="shared" si="0"/>
        <v>Calcined Dolo</v>
      </c>
      <c r="D60" s="3">
        <v>2.88</v>
      </c>
      <c r="E60" s="3">
        <v>41.44</v>
      </c>
      <c r="F60" s="3">
        <v>24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D680-7690-0442-B325-B7CFAFC96FA6}">
  <dimension ref="A1:E22"/>
  <sheetViews>
    <sheetView workbookViewId="0">
      <selection activeCell="A22" sqref="A1:E22"/>
    </sheetView>
  </sheetViews>
  <sheetFormatPr baseColWidth="10" defaultRowHeight="16" x14ac:dyDescent="0.2"/>
  <sheetData>
    <row r="1" spans="1:5" x14ac:dyDescent="0.2">
      <c r="A1" s="1">
        <v>45972</v>
      </c>
      <c r="B1" t="s">
        <v>43</v>
      </c>
      <c r="C1">
        <v>0.38</v>
      </c>
      <c r="D1">
        <v>85.68</v>
      </c>
      <c r="E1">
        <v>0.8</v>
      </c>
    </row>
    <row r="2" spans="1:5" x14ac:dyDescent="0.2">
      <c r="A2" s="1">
        <v>45972</v>
      </c>
      <c r="B2" t="s">
        <v>44</v>
      </c>
      <c r="C2">
        <v>0.5</v>
      </c>
      <c r="D2">
        <v>57.12</v>
      </c>
      <c r="E2">
        <v>1.2</v>
      </c>
    </row>
    <row r="3" spans="1:5" x14ac:dyDescent="0.2">
      <c r="A3" s="1">
        <v>45978</v>
      </c>
      <c r="B3" t="s">
        <v>45</v>
      </c>
      <c r="C3">
        <v>1.52</v>
      </c>
      <c r="D3">
        <v>66.64</v>
      </c>
      <c r="E3">
        <v>1.2</v>
      </c>
    </row>
    <row r="4" spans="1:5" x14ac:dyDescent="0.2">
      <c r="A4" s="1">
        <v>45978</v>
      </c>
      <c r="B4" t="s">
        <v>46</v>
      </c>
      <c r="C4">
        <v>2.98</v>
      </c>
      <c r="D4">
        <v>40.880000000000003</v>
      </c>
      <c r="E4">
        <v>27.2</v>
      </c>
    </row>
    <row r="5" spans="1:5" x14ac:dyDescent="0.2">
      <c r="A5" s="1">
        <v>45986</v>
      </c>
      <c r="B5" t="s">
        <v>47</v>
      </c>
      <c r="C5">
        <v>1.3</v>
      </c>
      <c r="D5">
        <v>70</v>
      </c>
      <c r="E5">
        <v>1.6</v>
      </c>
    </row>
    <row r="6" spans="1:5" x14ac:dyDescent="0.2">
      <c r="A6" s="1">
        <v>45986</v>
      </c>
      <c r="B6" t="s">
        <v>48</v>
      </c>
      <c r="C6">
        <v>10.88</v>
      </c>
      <c r="D6">
        <v>44.24</v>
      </c>
      <c r="E6">
        <v>21.6</v>
      </c>
    </row>
    <row r="7" spans="1:5" x14ac:dyDescent="0.2">
      <c r="A7" s="1">
        <v>45992</v>
      </c>
      <c r="B7" t="s">
        <v>49</v>
      </c>
      <c r="C7">
        <v>4.32</v>
      </c>
      <c r="D7">
        <v>77.56</v>
      </c>
      <c r="E7">
        <v>1</v>
      </c>
    </row>
    <row r="8" spans="1:5" x14ac:dyDescent="0.2">
      <c r="A8" s="1">
        <v>45992</v>
      </c>
      <c r="B8" t="s">
        <v>50</v>
      </c>
      <c r="C8">
        <v>4.6399999999999997</v>
      </c>
      <c r="D8">
        <v>39.200000000000003</v>
      </c>
      <c r="E8">
        <v>30</v>
      </c>
    </row>
    <row r="9" spans="1:5" x14ac:dyDescent="0.2">
      <c r="A9" s="1">
        <v>45999</v>
      </c>
      <c r="B9" t="s">
        <v>51</v>
      </c>
      <c r="C9">
        <v>2.74</v>
      </c>
      <c r="D9">
        <v>88.48</v>
      </c>
      <c r="E9">
        <v>1.2</v>
      </c>
    </row>
    <row r="10" spans="1:5" x14ac:dyDescent="0.2">
      <c r="A10" s="1">
        <v>45999</v>
      </c>
      <c r="B10" t="s">
        <v>52</v>
      </c>
      <c r="C10">
        <v>4.9400000000000004</v>
      </c>
      <c r="D10">
        <v>40.880000000000003</v>
      </c>
      <c r="E10">
        <v>22.4</v>
      </c>
    </row>
    <row r="11" spans="1:5" x14ac:dyDescent="0.2">
      <c r="A11" s="1">
        <v>46006</v>
      </c>
      <c r="B11" t="s">
        <v>53</v>
      </c>
      <c r="C11">
        <v>0</v>
      </c>
      <c r="D11">
        <v>0</v>
      </c>
      <c r="E11">
        <v>0</v>
      </c>
    </row>
    <row r="12" spans="1:5" x14ac:dyDescent="0.2">
      <c r="A12" s="1">
        <v>46006</v>
      </c>
      <c r="B12" t="s">
        <v>54</v>
      </c>
      <c r="C12">
        <v>0</v>
      </c>
      <c r="D12">
        <v>0</v>
      </c>
      <c r="E12">
        <v>0</v>
      </c>
    </row>
    <row r="13" spans="1:5" x14ac:dyDescent="0.2">
      <c r="A13" s="1">
        <v>46009</v>
      </c>
      <c r="B13" t="s">
        <v>55</v>
      </c>
      <c r="C13">
        <v>2.04</v>
      </c>
      <c r="D13">
        <v>72.8</v>
      </c>
      <c r="E13">
        <v>1.2</v>
      </c>
    </row>
    <row r="14" spans="1:5" x14ac:dyDescent="0.2">
      <c r="A14" s="1">
        <v>46009</v>
      </c>
      <c r="B14" t="s">
        <v>56</v>
      </c>
      <c r="C14">
        <v>8.2200000000000006</v>
      </c>
      <c r="D14">
        <v>43.68</v>
      </c>
      <c r="E14">
        <v>22.8</v>
      </c>
    </row>
    <row r="15" spans="1:5" x14ac:dyDescent="0.2">
      <c r="A15" s="1">
        <v>46013</v>
      </c>
      <c r="B15" t="s">
        <v>57</v>
      </c>
      <c r="C15">
        <v>0.48</v>
      </c>
      <c r="D15">
        <v>71.680000000000007</v>
      </c>
      <c r="E15">
        <v>1.2</v>
      </c>
    </row>
    <row r="16" spans="1:5" x14ac:dyDescent="0.2">
      <c r="A16" s="1">
        <v>46013</v>
      </c>
      <c r="B16" t="s">
        <v>58</v>
      </c>
      <c r="C16">
        <v>5.16</v>
      </c>
      <c r="D16">
        <v>48.72</v>
      </c>
      <c r="E16">
        <v>25.2</v>
      </c>
    </row>
    <row r="17" spans="1:5" x14ac:dyDescent="0.2">
      <c r="A17" s="1">
        <v>46020</v>
      </c>
      <c r="B17" t="s">
        <v>59</v>
      </c>
      <c r="C17">
        <v>0</v>
      </c>
      <c r="D17">
        <v>0</v>
      </c>
      <c r="E17">
        <v>0</v>
      </c>
    </row>
    <row r="18" spans="1:5" x14ac:dyDescent="0.2">
      <c r="A18" s="1">
        <v>46020</v>
      </c>
      <c r="B18" t="s">
        <v>60</v>
      </c>
      <c r="C18">
        <v>0</v>
      </c>
      <c r="D18">
        <v>0</v>
      </c>
      <c r="E18">
        <v>0</v>
      </c>
    </row>
    <row r="19" spans="1:5" x14ac:dyDescent="0.2">
      <c r="A19" s="1">
        <v>46027</v>
      </c>
      <c r="B19" t="s">
        <v>61</v>
      </c>
      <c r="C19">
        <v>2.04</v>
      </c>
      <c r="D19">
        <v>78.959999999999994</v>
      </c>
      <c r="E19">
        <v>0.8</v>
      </c>
    </row>
    <row r="20" spans="1:5" x14ac:dyDescent="0.2">
      <c r="A20" s="1">
        <v>46027</v>
      </c>
      <c r="B20" t="s">
        <v>62</v>
      </c>
      <c r="C20">
        <v>7.14</v>
      </c>
      <c r="D20">
        <v>42</v>
      </c>
      <c r="E20">
        <v>28.8</v>
      </c>
    </row>
    <row r="21" spans="1:5" x14ac:dyDescent="0.2">
      <c r="A21" s="1">
        <v>46030</v>
      </c>
      <c r="B21" t="s">
        <v>63</v>
      </c>
      <c r="C21">
        <v>1.24</v>
      </c>
      <c r="D21">
        <v>67.760000000000005</v>
      </c>
      <c r="E21">
        <v>1.6</v>
      </c>
    </row>
    <row r="22" spans="1:5" x14ac:dyDescent="0.2">
      <c r="A22" s="1">
        <v>46030</v>
      </c>
      <c r="B22" t="s">
        <v>64</v>
      </c>
      <c r="C22">
        <v>2.88</v>
      </c>
      <c r="D22">
        <v>41.44</v>
      </c>
      <c r="E2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 T Nagrare</dc:creator>
  <cp:lastModifiedBy>Nikit T Nagrare</cp:lastModifiedBy>
  <dcterms:created xsi:type="dcterms:W3CDTF">2025-11-24T06:21:57Z</dcterms:created>
  <dcterms:modified xsi:type="dcterms:W3CDTF">2026-02-03T15:19:48Z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2026-02-03T15:19:37Z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9f4f7ff4-0431-4576-b4dd-0c3b818cc707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50, 3, 0, 1</vt:lpwstr>
  </property>
</Properties>
</file>